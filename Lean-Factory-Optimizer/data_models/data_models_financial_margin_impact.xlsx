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Operations Audit" sheetId="1" state="visible" r:id="rId1"/>
    <sheet xmlns:r="http://schemas.openxmlformats.org/officeDocument/2006/relationships" name="Actionable Waste Ale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€#,##0.00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ADBD8"/>
        <bgColor rgb="00FADBD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/>
    </xf>
    <xf numFmtId="164" fontId="3" fillId="0" borderId="2" applyAlignment="1" pivotButton="0" quotePrefix="0" xfId="0">
      <alignment horizontal="right"/>
    </xf>
    <xf numFmtId="4" fontId="3" fillId="0" borderId="2" applyAlignment="1" pivotButton="0" quotePrefix="0" xfId="0">
      <alignment horizontal="right"/>
    </xf>
    <xf numFmtId="165" fontId="3" fillId="0" borderId="2" applyAlignment="1" pivotButton="0" quotePrefix="0" xfId="0">
      <alignment horizontal="right"/>
    </xf>
    <xf numFmtId="164" fontId="3" fillId="3" borderId="2" applyAlignment="1" pivotButton="0" quotePrefix="0" xfId="0">
      <alignment horizontal="right"/>
    </xf>
    <xf numFmtId="0" fontId="4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right"/>
    </xf>
    <xf numFmtId="164" fontId="4" fillId="0" borderId="2" applyAlignment="1" pivotButton="0" quotePrefix="0" xfId="0">
      <alignment horizontal="right"/>
    </xf>
    <xf numFmtId="4" fontId="4" fillId="0" borderId="2" applyAlignment="1" pivotButton="0" quotePrefix="0" xfId="0">
      <alignment horizontal="right"/>
    </xf>
    <xf numFmtId="165" fontId="4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3" customWidth="1" min="3" max="3"/>
    <col width="14" customWidth="1" min="4" max="4"/>
    <col width="25" customWidth="1" min="5" max="5"/>
    <col width="21" customWidth="1" min="6" max="6"/>
    <col width="21" customWidth="1" min="7" max="7"/>
    <col width="22" customWidth="1" min="8" max="8"/>
    <col width="23" customWidth="1" min="9" max="9"/>
  </cols>
  <sheetData>
    <row r="1">
      <c r="A1" s="2" t="inlineStr">
        <is>
          <t>Shift_ID</t>
        </is>
      </c>
      <c r="B1" s="2" t="inlineStr">
        <is>
          <t>Machine_ID</t>
        </is>
      </c>
      <c r="C1" s="2" t="inlineStr">
        <is>
          <t>Total_Units_Produced</t>
        </is>
      </c>
      <c r="D1" s="2" t="inlineStr">
        <is>
          <t>Scrap_Units</t>
        </is>
      </c>
      <c r="E1" s="2" t="inlineStr">
        <is>
          <t>Energy_Consumption_kWh</t>
        </is>
      </c>
      <c r="F1" s="2" t="inlineStr">
        <is>
          <t>Unit_Material_Cost</t>
        </is>
      </c>
      <c r="G1" s="2" t="inlineStr">
        <is>
          <t>SCRAP_RATE_PCT</t>
        </is>
      </c>
      <c r="H1" s="2" t="inlineStr">
        <is>
          <t>ENERGY_PER_UNIT_KWH</t>
        </is>
      </c>
      <c r="I1" s="2" t="inlineStr">
        <is>
          <t>TOTAL_WASTE_COST_EUR</t>
        </is>
      </c>
    </row>
    <row r="2" ht="20" customHeight="1">
      <c r="A2" s="3" t="inlineStr">
        <is>
          <t>SHIFT_01_A</t>
        </is>
      </c>
      <c r="B2" s="3" t="inlineStr">
        <is>
          <t>CNC_01</t>
        </is>
      </c>
      <c r="C2" s="3" t="n">
        <v>1200</v>
      </c>
      <c r="D2" s="3" t="n">
        <v>18</v>
      </c>
      <c r="E2" s="3" t="n">
        <v>450.5</v>
      </c>
      <c r="F2" s="3" t="n">
        <v>4.5</v>
      </c>
      <c r="G2" s="4" t="n">
        <v>1.5</v>
      </c>
      <c r="H2" s="5" t="n">
        <v>0.3754166666666667</v>
      </c>
      <c r="I2" s="6" t="n">
        <v>148.575</v>
      </c>
    </row>
    <row r="3" ht="20" customHeight="1">
      <c r="A3" s="3" t="inlineStr">
        <is>
          <t>SHIFT_01_A</t>
        </is>
      </c>
      <c r="B3" s="3" t="inlineStr">
        <is>
          <t>CNC_02</t>
        </is>
      </c>
      <c r="C3" s="3" t="n">
        <v>1150</v>
      </c>
      <c r="D3" s="3" t="n">
        <v>42</v>
      </c>
      <c r="E3" s="3" t="n">
        <v>480.2</v>
      </c>
      <c r="F3" s="3" t="n">
        <v>4.5</v>
      </c>
      <c r="G3" s="4" t="n">
        <v>3.652173913043478</v>
      </c>
      <c r="H3" s="5" t="n">
        <v>0.4175652173913043</v>
      </c>
      <c r="I3" s="6" t="n">
        <v>261.03</v>
      </c>
    </row>
    <row r="4" ht="20" customHeight="1">
      <c r="A4" s="3" t="inlineStr">
        <is>
          <t>SHIFT_01_B</t>
        </is>
      </c>
      <c r="B4" s="3" t="inlineStr">
        <is>
          <t>CNC_01</t>
        </is>
      </c>
      <c r="C4" s="3" t="n">
        <v>1250</v>
      </c>
      <c r="D4" s="3" t="n">
        <v>12</v>
      </c>
      <c r="E4" s="3" t="n">
        <v>440</v>
      </c>
      <c r="F4" s="3" t="n">
        <v>4.5</v>
      </c>
      <c r="G4" s="4" t="n">
        <v>0.96</v>
      </c>
      <c r="H4" s="5" t="n">
        <v>0.352</v>
      </c>
      <c r="I4" s="6" t="n">
        <v>120</v>
      </c>
    </row>
    <row r="5" ht="20" customHeight="1">
      <c r="A5" s="3" t="inlineStr">
        <is>
          <t>SHIFT_01_B</t>
        </is>
      </c>
      <c r="B5" s="3" t="inlineStr">
        <is>
          <t>CNC_02</t>
        </is>
      </c>
      <c r="C5" s="3" t="n">
        <v>980</v>
      </c>
      <c r="D5" s="3" t="n">
        <v>55</v>
      </c>
      <c r="E5" s="3" t="n">
        <v>490.8</v>
      </c>
      <c r="F5" s="3" t="n">
        <v>4.5</v>
      </c>
      <c r="G5" s="7" t="n">
        <v>5.612244897959184</v>
      </c>
      <c r="H5" s="5" t="n">
        <v>0.5008163265306123</v>
      </c>
      <c r="I5" s="6" t="n">
        <v>321.12</v>
      </c>
    </row>
    <row r="6" ht="20" customHeight="1">
      <c r="A6" s="3" t="inlineStr">
        <is>
          <t>SHIFT_01_C</t>
        </is>
      </c>
      <c r="B6" s="3" t="inlineStr">
        <is>
          <t>CNC_01</t>
        </is>
      </c>
      <c r="C6" s="3" t="n">
        <v>1100</v>
      </c>
      <c r="D6" s="3" t="n">
        <v>22</v>
      </c>
      <c r="E6" s="3" t="n">
        <v>465.1</v>
      </c>
      <c r="F6" s="3" t="n">
        <v>4.75</v>
      </c>
      <c r="G6" s="4" t="n">
        <v>2</v>
      </c>
      <c r="H6" s="5" t="n">
        <v>0.4228181818181818</v>
      </c>
      <c r="I6" s="6" t="n">
        <v>174.265</v>
      </c>
    </row>
    <row r="7" ht="20" customHeight="1">
      <c r="A7" s="3" t="inlineStr">
        <is>
          <t>SHIFT_01_C</t>
        </is>
      </c>
      <c r="B7" s="3" t="inlineStr">
        <is>
          <t>CNC_02</t>
        </is>
      </c>
      <c r="C7" s="3" t="n">
        <v>1050</v>
      </c>
      <c r="D7" s="3" t="n">
        <v>61</v>
      </c>
      <c r="E7" s="3" t="n">
        <v>510.4</v>
      </c>
      <c r="F7" s="3" t="n">
        <v>4.75</v>
      </c>
      <c r="G7" s="7" t="n">
        <v>5.809523809523809</v>
      </c>
      <c r="H7" s="5" t="n">
        <v>0.4860952380952381</v>
      </c>
      <c r="I7" s="6" t="n">
        <v>366.31</v>
      </c>
    </row>
    <row r="8" ht="20" customHeight="1">
      <c r="A8" s="3" t="inlineStr">
        <is>
          <t>SHIFT_02_A</t>
        </is>
      </c>
      <c r="B8" s="3" t="inlineStr">
        <is>
          <t>ROBOT_ARM_1</t>
        </is>
      </c>
      <c r="C8" s="3" t="n">
        <v>2500</v>
      </c>
      <c r="D8" s="3" t="n">
        <v>8</v>
      </c>
      <c r="E8" s="3" t="n">
        <v>310.2</v>
      </c>
      <c r="F8" s="3" t="n">
        <v>12</v>
      </c>
      <c r="G8" s="4" t="n">
        <v>0.32</v>
      </c>
      <c r="H8" s="5" t="n">
        <v>0.12408</v>
      </c>
      <c r="I8" s="6" t="n">
        <v>142.53</v>
      </c>
    </row>
    <row r="9" ht="20" customHeight="1">
      <c r="A9" s="3" t="inlineStr">
        <is>
          <t>SHIFT_02_A</t>
        </is>
      </c>
      <c r="B9" s="3" t="inlineStr">
        <is>
          <t>ROBOT_ARM_2</t>
        </is>
      </c>
      <c r="C9" s="3" t="n">
        <v>2400</v>
      </c>
      <c r="D9" s="3" t="n">
        <v>105</v>
      </c>
      <c r="E9" s="3" t="n">
        <v>340.9</v>
      </c>
      <c r="F9" s="3" t="n">
        <v>12</v>
      </c>
      <c r="G9" s="7" t="n">
        <v>4.375</v>
      </c>
      <c r="H9" s="5" t="n">
        <v>0.1420416666666666</v>
      </c>
      <c r="I9" s="6" t="n">
        <v>1311.135</v>
      </c>
    </row>
    <row r="10">
      <c r="A10" s="3" t="inlineStr">
        <is>
          <t>SHIFT_02_B</t>
        </is>
      </c>
      <c r="B10" s="3" t="inlineStr">
        <is>
          <t>ROBOT_ARM_1</t>
        </is>
      </c>
      <c r="C10" s="3" t="n">
        <v>2600</v>
      </c>
      <c r="D10" s="3" t="n">
        <v>5</v>
      </c>
      <c r="E10" s="3" t="n">
        <v>305</v>
      </c>
      <c r="F10" s="3" t="n">
        <v>12</v>
      </c>
      <c r="G10" s="4" t="n">
        <v>0.1923076923076923</v>
      </c>
      <c r="H10" s="5" t="n">
        <v>0.1173076923076923</v>
      </c>
      <c r="I10" s="6" t="n">
        <v>105.75</v>
      </c>
    </row>
    <row r="11">
      <c r="A11" s="3" t="inlineStr">
        <is>
          <t>SHIFT_02_B</t>
        </is>
      </c>
      <c r="B11" s="3" t="inlineStr">
        <is>
          <t>ROBOT_ARM_2</t>
        </is>
      </c>
      <c r="C11" s="3" t="n">
        <v>2200</v>
      </c>
      <c r="D11" s="3" t="n">
        <v>98</v>
      </c>
      <c r="E11" s="3" t="n">
        <v>355.1</v>
      </c>
      <c r="F11" s="3" t="n">
        <v>12</v>
      </c>
      <c r="G11" s="7" t="n">
        <v>4.454545454545455</v>
      </c>
      <c r="H11" s="5" t="n">
        <v>0.1614090909090909</v>
      </c>
      <c r="I11" s="6" t="n">
        <v>1229.265</v>
      </c>
    </row>
    <row r="12">
      <c r="A12" s="3" t="inlineStr">
        <is>
          <t>SHIFT_02_C</t>
        </is>
      </c>
      <c r="B12" s="3" t="inlineStr">
        <is>
          <t>ROBOT_ARM_1</t>
        </is>
      </c>
      <c r="C12" s="3" t="n">
        <v>2350</v>
      </c>
      <c r="D12" s="3" t="n">
        <v>14</v>
      </c>
      <c r="E12" s="3" t="n">
        <v>320.6</v>
      </c>
      <c r="F12" s="3" t="n">
        <v>12.5</v>
      </c>
      <c r="G12" s="4" t="n">
        <v>0.5957446808510638</v>
      </c>
      <c r="H12" s="5" t="n">
        <v>0.1364255319148936</v>
      </c>
      <c r="I12" s="6" t="n">
        <v>223.09</v>
      </c>
    </row>
    <row r="13">
      <c r="A13" s="3" t="inlineStr">
        <is>
          <t>SHIFT_02_C</t>
        </is>
      </c>
      <c r="B13" s="3" t="inlineStr">
        <is>
          <t>ROBOT_ARM_2</t>
        </is>
      </c>
      <c r="C13" s="3" t="n">
        <v>2150</v>
      </c>
      <c r="D13" s="3" t="n">
        <v>112</v>
      </c>
      <c r="E13" s="3" t="n">
        <v>360.3</v>
      </c>
      <c r="F13" s="3" t="n">
        <v>12.5</v>
      </c>
      <c r="G13" s="7" t="n">
        <v>5.209302325581396</v>
      </c>
      <c r="H13" s="5" t="n">
        <v>0.1675813953488372</v>
      </c>
      <c r="I13" s="6" t="n">
        <v>1454.045</v>
      </c>
    </row>
    <row r="14">
      <c r="A14" s="3" t="inlineStr">
        <is>
          <t>SHIFT_03_A</t>
        </is>
      </c>
      <c r="B14" s="3" t="inlineStr">
        <is>
          <t>PRESS_05</t>
        </is>
      </c>
      <c r="C14" s="3" t="n">
        <v>850</v>
      </c>
      <c r="D14" s="3" t="n">
        <v>34</v>
      </c>
      <c r="E14" s="3" t="n">
        <v>850</v>
      </c>
      <c r="F14" s="3" t="n">
        <v>22</v>
      </c>
      <c r="G14" s="4" t="n">
        <v>4</v>
      </c>
      <c r="H14" s="5" t="n">
        <v>1</v>
      </c>
      <c r="I14" s="6" t="n">
        <v>875.5</v>
      </c>
    </row>
    <row r="15">
      <c r="A15" s="3" t="inlineStr">
        <is>
          <t>SHIFT_03_B</t>
        </is>
      </c>
      <c r="B15" s="3" t="inlineStr">
        <is>
          <t>PRESS_05</t>
        </is>
      </c>
      <c r="C15" s="3" t="n">
        <v>900</v>
      </c>
      <c r="D15" s="3" t="n">
        <v>12</v>
      </c>
      <c r="E15" s="3" t="n">
        <v>810.5</v>
      </c>
      <c r="F15" s="3" t="n">
        <v>22</v>
      </c>
      <c r="G15" s="4" t="n">
        <v>1.333333333333333</v>
      </c>
      <c r="H15" s="5" t="n">
        <v>0.9005555555555556</v>
      </c>
      <c r="I15" s="6" t="n">
        <v>385.575</v>
      </c>
    </row>
    <row r="16">
      <c r="A16" s="3" t="inlineStr">
        <is>
          <t>SHIFT_03_C</t>
        </is>
      </c>
      <c r="B16" s="3" t="inlineStr">
        <is>
          <t>PRESS_05</t>
        </is>
      </c>
      <c r="C16" s="3" t="n">
        <v>780</v>
      </c>
      <c r="D16" s="3" t="n">
        <v>45</v>
      </c>
      <c r="E16" s="3" t="n">
        <v>890.2</v>
      </c>
      <c r="F16" s="3" t="n">
        <v>22.5</v>
      </c>
      <c r="G16" s="7" t="n">
        <v>5.769230769230769</v>
      </c>
      <c r="H16" s="5" t="n">
        <v>1.141282051282051</v>
      </c>
      <c r="I16" s="6" t="n">
        <v>1146.03</v>
      </c>
    </row>
    <row r="17">
      <c r="A17" s="8" t="inlineStr">
        <is>
          <t>Total / Operational Average</t>
        </is>
      </c>
      <c r="B17" s="9" t="n"/>
      <c r="C17" s="9" t="n"/>
      <c r="D17" s="9" t="n"/>
      <c r="E17" s="9" t="n"/>
      <c r="F17" s="9" t="n"/>
      <c r="G17" s="10">
        <f>(D17/C17)*100</f>
        <v/>
      </c>
      <c r="H17" s="11">
        <f>AVERAGE(H2:H16)</f>
        <v/>
      </c>
      <c r="I17" s="12">
        <f>SUM(I2:I16)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3" customWidth="1" min="3" max="3"/>
    <col width="14" customWidth="1" min="4" max="4"/>
    <col width="25" customWidth="1" min="5" max="5"/>
    <col width="21" customWidth="1" min="6" max="6"/>
    <col width="20" customWidth="1" min="7" max="7"/>
    <col width="22" customWidth="1" min="8" max="8"/>
    <col width="23" customWidth="1" min="9" max="9"/>
  </cols>
  <sheetData>
    <row r="1">
      <c r="A1" s="2" t="inlineStr">
        <is>
          <t>Shift_ID</t>
        </is>
      </c>
      <c r="B1" s="2" t="inlineStr">
        <is>
          <t>Machine_ID</t>
        </is>
      </c>
      <c r="C1" s="2" t="inlineStr">
        <is>
          <t>Total_Units_Produced</t>
        </is>
      </c>
      <c r="D1" s="2" t="inlineStr">
        <is>
          <t>Scrap_Units</t>
        </is>
      </c>
      <c r="E1" s="2" t="inlineStr">
        <is>
          <t>Energy_Consumption_kWh</t>
        </is>
      </c>
      <c r="F1" s="2" t="inlineStr">
        <is>
          <t>Unit_Material_Cost</t>
        </is>
      </c>
      <c r="G1" s="2" t="inlineStr">
        <is>
          <t>SCRAP_RATE_PCT</t>
        </is>
      </c>
      <c r="H1" s="2" t="inlineStr">
        <is>
          <t>ENERGY_PER_UNIT_KWH</t>
        </is>
      </c>
      <c r="I1" s="2" t="inlineStr">
        <is>
          <t>TOTAL_WASTE_COST_EUR</t>
        </is>
      </c>
    </row>
    <row r="2" ht="20" customHeight="1">
      <c r="A2" s="3" t="inlineStr">
        <is>
          <t>SHIFT_01_B</t>
        </is>
      </c>
      <c r="B2" s="3" t="inlineStr">
        <is>
          <t>CNC_02</t>
        </is>
      </c>
      <c r="C2" s="3" t="n">
        <v>980</v>
      </c>
      <c r="D2" s="3" t="n">
        <v>55</v>
      </c>
      <c r="E2" s="3" t="n">
        <v>490.8</v>
      </c>
      <c r="F2" s="3" t="n">
        <v>4.5</v>
      </c>
      <c r="G2" s="4" t="n">
        <v>5.612244897959184</v>
      </c>
      <c r="H2" s="5" t="n">
        <v>0.5008163265306123</v>
      </c>
      <c r="I2" s="6" t="n">
        <v>321.12</v>
      </c>
    </row>
    <row r="3" ht="20" customHeight="1">
      <c r="A3" s="3" t="inlineStr">
        <is>
          <t>SHIFT_01_C</t>
        </is>
      </c>
      <c r="B3" s="3" t="inlineStr">
        <is>
          <t>CNC_02</t>
        </is>
      </c>
      <c r="C3" s="3" t="n">
        <v>1050</v>
      </c>
      <c r="D3" s="3" t="n">
        <v>61</v>
      </c>
      <c r="E3" s="3" t="n">
        <v>510.4</v>
      </c>
      <c r="F3" s="3" t="n">
        <v>4.75</v>
      </c>
      <c r="G3" s="4" t="n">
        <v>5.809523809523809</v>
      </c>
      <c r="H3" s="5" t="n">
        <v>0.4860952380952381</v>
      </c>
      <c r="I3" s="6" t="n">
        <v>366.31</v>
      </c>
    </row>
    <row r="4" ht="20" customHeight="1">
      <c r="A4" s="3" t="inlineStr">
        <is>
          <t>SHIFT_02_A</t>
        </is>
      </c>
      <c r="B4" s="3" t="inlineStr">
        <is>
          <t>ROBOT_ARM_2</t>
        </is>
      </c>
      <c r="C4" s="3" t="n">
        <v>2400</v>
      </c>
      <c r="D4" s="3" t="n">
        <v>105</v>
      </c>
      <c r="E4" s="3" t="n">
        <v>340.9</v>
      </c>
      <c r="F4" s="3" t="n">
        <v>12</v>
      </c>
      <c r="G4" s="4" t="n">
        <v>4.375</v>
      </c>
      <c r="H4" s="5" t="n">
        <v>0.1420416666666666</v>
      </c>
      <c r="I4" s="6" t="n">
        <v>1311.135</v>
      </c>
    </row>
    <row r="5" ht="20" customHeight="1">
      <c r="A5" s="3" t="inlineStr">
        <is>
          <t>SHIFT_02_B</t>
        </is>
      </c>
      <c r="B5" s="3" t="inlineStr">
        <is>
          <t>ROBOT_ARM_2</t>
        </is>
      </c>
      <c r="C5" s="3" t="n">
        <v>2200</v>
      </c>
      <c r="D5" s="3" t="n">
        <v>98</v>
      </c>
      <c r="E5" s="3" t="n">
        <v>355.1</v>
      </c>
      <c r="F5" s="3" t="n">
        <v>12</v>
      </c>
      <c r="G5" s="4" t="n">
        <v>4.454545454545455</v>
      </c>
      <c r="H5" s="5" t="n">
        <v>0.1614090909090909</v>
      </c>
      <c r="I5" s="6" t="n">
        <v>1229.265</v>
      </c>
    </row>
    <row r="6" ht="20" customHeight="1">
      <c r="A6" s="3" t="inlineStr">
        <is>
          <t>SHIFT_02_C</t>
        </is>
      </c>
      <c r="B6" s="3" t="inlineStr">
        <is>
          <t>ROBOT_ARM_2</t>
        </is>
      </c>
      <c r="C6" s="3" t="n">
        <v>2150</v>
      </c>
      <c r="D6" s="3" t="n">
        <v>112</v>
      </c>
      <c r="E6" s="3" t="n">
        <v>360.3</v>
      </c>
      <c r="F6" s="3" t="n">
        <v>12.5</v>
      </c>
      <c r="G6" s="4" t="n">
        <v>5.209302325581396</v>
      </c>
      <c r="H6" s="5" t="n">
        <v>0.1675813953488372</v>
      </c>
      <c r="I6" s="6" t="n">
        <v>1454.045</v>
      </c>
    </row>
    <row r="7" ht="20" customHeight="1">
      <c r="A7" s="3" t="inlineStr">
        <is>
          <t>SHIFT_03_C</t>
        </is>
      </c>
      <c r="B7" s="3" t="inlineStr">
        <is>
          <t>PRESS_05</t>
        </is>
      </c>
      <c r="C7" s="3" t="n">
        <v>780</v>
      </c>
      <c r="D7" s="3" t="n">
        <v>45</v>
      </c>
      <c r="E7" s="3" t="n">
        <v>890.2</v>
      </c>
      <c r="F7" s="3" t="n">
        <v>22.5</v>
      </c>
      <c r="G7" s="4" t="n">
        <v>5.769230769230769</v>
      </c>
      <c r="H7" s="5" t="n">
        <v>1.141282051282051</v>
      </c>
      <c r="I7" s="6" t="n">
        <v>1146.03</v>
      </c>
    </row>
    <row r="8" ht="20" customHeight="1">
      <c r="A8" s="8" t="inlineStr">
        <is>
          <t>Total / Operational Average</t>
        </is>
      </c>
      <c r="B8" s="9" t="n"/>
      <c r="C8" s="9" t="n"/>
      <c r="D8" s="9" t="n"/>
      <c r="E8" s="9" t="n"/>
      <c r="F8" s="9" t="n"/>
      <c r="G8" s="10">
        <f>(D8/C8)*100</f>
        <v/>
      </c>
      <c r="H8" s="11">
        <f>AVERAGE(H2:H7)</f>
        <v/>
      </c>
      <c r="I8" s="12">
        <f>SUM(I2:I7)</f>
        <v/>
      </c>
    </row>
    <row r="9" ht="2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2026-07-01T03:15:25Z</dcterms:created>
  <dcterms:modified xmlns:dcterms="http://purl.org/dc/terms/" xmlns:xsi="http://www.w3.org/2001/XMLSchema-instance" xsi:type="dcterms:W3CDTF">2026-07-01T03:15:25Z</dcterms:modified>
</cp:coreProperties>
</file>